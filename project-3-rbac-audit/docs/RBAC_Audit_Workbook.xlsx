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oster" sheetId="1" r:id="rId5"/>
    <sheet state="visible" name="RBAC Matrix (Intended)" sheetId="2" r:id="rId6"/>
    <sheet state="visible" name="Current Access (Actual)" sheetId="3" r:id="rId7"/>
    <sheet state="visible" name="Audit Findings (Template)" sheetId="4" r:id="rId8"/>
  </sheets>
  <definedNames/>
  <calcPr/>
</workbook>
</file>

<file path=xl/sharedStrings.xml><?xml version="1.0" encoding="utf-8"?>
<sst xmlns="http://schemas.openxmlformats.org/spreadsheetml/2006/main" count="537" uniqueCount="138">
  <si>
    <t>RBAC Entitlement Matrix — Intended Access by Role</t>
  </si>
  <si>
    <t>Current Access — Actual State (Simulated System Export)</t>
  </si>
  <si>
    <t>Simulated Org — User Roster</t>
  </si>
  <si>
    <t>IAM Access Audit — Findings &amp; Remediation Plan</t>
  </si>
  <si>
    <t>20 users across 5 departments.</t>
  </si>
  <si>
    <t>Employee ID</t>
  </si>
  <si>
    <t>Role</t>
  </si>
  <si>
    <t>Name</t>
  </si>
  <si>
    <t>HR System</t>
  </si>
  <si>
    <t>Department</t>
  </si>
  <si>
    <t>Finance System</t>
  </si>
  <si>
    <t>Finding Category</t>
  </si>
  <si>
    <t>Job Title / Role</t>
  </si>
  <si>
    <t>Invoice Creator</t>
  </si>
  <si>
    <t>Description</t>
  </si>
  <si>
    <t>Manager</t>
  </si>
  <si>
    <t>Invoice Approver</t>
  </si>
  <si>
    <t>Risk</t>
  </si>
  <si>
    <t>Hire Date</t>
  </si>
  <si>
    <t>Salesforce CRM</t>
  </si>
  <si>
    <t>Remediation Action</t>
  </si>
  <si>
    <t>Status</t>
  </si>
  <si>
    <t>Engineering Repo</t>
  </si>
  <si>
    <t xml:space="preserve">E007 </t>
  </si>
  <si>
    <t>Notes</t>
  </si>
  <si>
    <t>Domain Admin</t>
  </si>
  <si>
    <t>E001</t>
  </si>
  <si>
    <t>SoD Rule Notes</t>
  </si>
  <si>
    <t>Kevin O'Brien</t>
  </si>
  <si>
    <t>HR Specialist</t>
  </si>
  <si>
    <t>SoD Violation</t>
  </si>
  <si>
    <t>Maria Chen</t>
  </si>
  <si>
    <t xml:space="preserve">Invoice creation and approval simultaneously </t>
  </si>
  <si>
    <t>Auto-Flag: SoD Conflict</t>
  </si>
  <si>
    <t>High</t>
  </si>
  <si>
    <t>HR</t>
  </si>
  <si>
    <t>Yes</t>
  </si>
  <si>
    <t>Remove Approver priveledge</t>
  </si>
  <si>
    <t>E008</t>
  </si>
  <si>
    <t>David Okafor</t>
  </si>
  <si>
    <t>Sophia Marsh</t>
  </si>
  <si>
    <t>No</t>
  </si>
  <si>
    <t>2023-03-14</t>
  </si>
  <si>
    <t>Priveledge Creep</t>
  </si>
  <si>
    <t>Kept Salesforce Access after Sales-&gt;Finance</t>
  </si>
  <si>
    <t>Active</t>
  </si>
  <si>
    <t>Medium</t>
  </si>
  <si>
    <t>Remove Salesforce access</t>
  </si>
  <si>
    <t>E002</t>
  </si>
  <si>
    <t>E012</t>
  </si>
  <si>
    <t>Hannah Kim</t>
  </si>
  <si>
    <t>Orphaned Acces</t>
  </si>
  <si>
    <t>Employee Terminated, still active</t>
  </si>
  <si>
    <t>HR Manager</t>
  </si>
  <si>
    <t>Linda Reyes</t>
  </si>
  <si>
    <t>Remove complete employee profile</t>
  </si>
  <si>
    <t>2020-06-01</t>
  </si>
  <si>
    <t>E016</t>
  </si>
  <si>
    <t>Grace Nakamura</t>
  </si>
  <si>
    <t xml:space="preserve">Incorrect Role Status in </t>
  </si>
  <si>
    <t>E003</t>
  </si>
  <si>
    <t>James Whitfield</t>
  </si>
  <si>
    <t>Correct HR status and re provision roles</t>
  </si>
  <si>
    <t>E020</t>
  </si>
  <si>
    <t>Finance Analyst</t>
  </si>
  <si>
    <t>Elevated Access</t>
  </si>
  <si>
    <t>Known high level of access across priveledges</t>
  </si>
  <si>
    <t>2024-01-08</t>
  </si>
  <si>
    <t>Low</t>
  </si>
  <si>
    <t>N/A</t>
  </si>
  <si>
    <t>E004</t>
  </si>
  <si>
    <t>Priya Natarajan</t>
  </si>
  <si>
    <t>Finance Manager</t>
  </si>
  <si>
    <t>2022-09-19</t>
  </si>
  <si>
    <t>E005</t>
  </si>
  <si>
    <t>Carlos Mendez</t>
  </si>
  <si>
    <t>Finance</t>
  </si>
  <si>
    <t>May approve invoices but should not also create them.</t>
  </si>
  <si>
    <t>AP Clerk</t>
  </si>
  <si>
    <t>Angela Duarte</t>
  </si>
  <si>
    <t>2021-11-02</t>
  </si>
  <si>
    <t>E006</t>
  </si>
  <si>
    <t>Must NOT also hold Invoice Approver — invoice creation and approval must stay separated.</t>
  </si>
  <si>
    <t>Sales Rep</t>
  </si>
  <si>
    <t>2019-04-22</t>
  </si>
  <si>
    <t>E007</t>
  </si>
  <si>
    <t>Sales Manager</t>
  </si>
  <si>
    <t>2023-07-10</t>
  </si>
  <si>
    <t>Holds both Invoice Creator and Invoice Approver — review for SoD.</t>
  </si>
  <si>
    <t>Software Engineer</t>
  </si>
  <si>
    <t>2024-02-26</t>
  </si>
  <si>
    <t>Transferred from Sales 4 months ago.</t>
  </si>
  <si>
    <t>E009</t>
  </si>
  <si>
    <t>Marcus Lee</t>
  </si>
  <si>
    <t>Engineering Manager</t>
  </si>
  <si>
    <t>Sales</t>
  </si>
  <si>
    <t>Renee Foster</t>
  </si>
  <si>
    <t>2022-05-15</t>
  </si>
  <si>
    <t>E010</t>
  </si>
  <si>
    <t>IT Support</t>
  </si>
  <si>
    <t>2018-08-30</t>
  </si>
  <si>
    <t>E011</t>
  </si>
  <si>
    <t>Tyler Brooks</t>
  </si>
  <si>
    <t>IT Admin</t>
  </si>
  <si>
    <t>2023-10-03</t>
  </si>
  <si>
    <t>Domain Admin is high-privilege — should be time-bound (JIT) per Project 4, not standing access.</t>
  </si>
  <si>
    <t>VP of Operations</t>
  </si>
  <si>
    <t>2021-01-12</t>
  </si>
  <si>
    <t>Terminated</t>
  </si>
  <si>
    <t>Last day 2026-06-30. Offboarding not yet completed.</t>
  </si>
  <si>
    <t>E013</t>
  </si>
  <si>
    <t>Aisha Bello</t>
  </si>
  <si>
    <t>Engineering</t>
  </si>
  <si>
    <t>Owen Fitzgerald</t>
  </si>
  <si>
    <t>2022-03-01</t>
  </si>
  <si>
    <t>E014</t>
  </si>
  <si>
    <t>2019-09-16</t>
  </si>
  <si>
    <t>E015</t>
  </si>
  <si>
    <t>Daniel Petrov</t>
  </si>
  <si>
    <t>2023-06-19</t>
  </si>
  <si>
    <t>2024-04-08</t>
  </si>
  <si>
    <t>Transferred from Engineering to IT 3 months ago.</t>
  </si>
  <si>
    <t>E017</t>
  </si>
  <si>
    <t>Ethan Cole</t>
  </si>
  <si>
    <t>IT</t>
  </si>
  <si>
    <t>Ben Turner</t>
  </si>
  <si>
    <t>2022-12-05</t>
  </si>
  <si>
    <t>E018</t>
  </si>
  <si>
    <t>2020-02-17</t>
  </si>
  <si>
    <t>Orphaned Access</t>
  </si>
  <si>
    <t>E019</t>
  </si>
  <si>
    <t>Olivia Grant</t>
  </si>
  <si>
    <t>2023-08-21</t>
  </si>
  <si>
    <t>Executive</t>
  </si>
  <si>
    <t>(none)</t>
  </si>
  <si>
    <t>2017-01-09</t>
  </si>
  <si>
    <t>Priveledge Creep/Stale HR</t>
  </si>
  <si>
    <t>Known eleveated access 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</si>
</sst>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B91C1C"/>
      <name val="Arial"/>
    </font>
    <font>
      <b/>
      <sz val="7.0"/>
      <color rgb="FFB91C1C"/>
      <name val="Arial"/>
    </font>
    <font>
      <b/>
      <sz val="6.0"/>
      <color rgb="FFB91C1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D1FAE5"/>
        <bgColor rgb="FFD1FAE5"/>
      </patternFill>
    </fill>
    <fill>
      <patternFill patternType="solid">
        <fgColor rgb="FFF3F4F6"/>
        <bgColor rgb="FFF3F4F6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2.0"/>
    <col customWidth="1" min="4" max="4" width="20.0"/>
    <col customWidth="1" min="5" max="5" width="16.0"/>
    <col customWidth="1" min="6" max="7" width="12.0"/>
    <col customWidth="1" min="8" max="8" width="42.0"/>
    <col customWidth="1" min="9" max="26" width="8.71"/>
  </cols>
  <sheetData>
    <row r="1">
      <c r="A1" s="1" t="s">
        <v>2</v>
      </c>
    </row>
    <row r="2">
      <c r="A2" s="3" t="s">
        <v>4</v>
      </c>
    </row>
    <row r="4">
      <c r="A4" s="4" t="s">
        <v>5</v>
      </c>
      <c r="B4" s="4" t="s">
        <v>7</v>
      </c>
      <c r="C4" s="4" t="s">
        <v>9</v>
      </c>
      <c r="D4" s="4" t="s">
        <v>12</v>
      </c>
      <c r="E4" s="4" t="s">
        <v>15</v>
      </c>
      <c r="F4" s="4" t="s">
        <v>18</v>
      </c>
      <c r="G4" s="4" t="s">
        <v>21</v>
      </c>
      <c r="H4" s="4" t="s">
        <v>24</v>
      </c>
    </row>
    <row r="5">
      <c r="A5" s="6" t="s">
        <v>26</v>
      </c>
      <c r="B5" s="6" t="s">
        <v>31</v>
      </c>
      <c r="C5" s="6" t="s">
        <v>35</v>
      </c>
      <c r="D5" s="6" t="s">
        <v>29</v>
      </c>
      <c r="E5" s="6" t="s">
        <v>39</v>
      </c>
      <c r="F5" s="6" t="s">
        <v>42</v>
      </c>
      <c r="G5" s="6" t="s">
        <v>45</v>
      </c>
      <c r="H5" s="6"/>
    </row>
    <row r="6">
      <c r="A6" s="6" t="s">
        <v>48</v>
      </c>
      <c r="B6" s="6" t="s">
        <v>39</v>
      </c>
      <c r="C6" s="6" t="s">
        <v>35</v>
      </c>
      <c r="D6" s="6" t="s">
        <v>53</v>
      </c>
      <c r="E6" s="6" t="s">
        <v>54</v>
      </c>
      <c r="F6" s="6" t="s">
        <v>56</v>
      </c>
      <c r="G6" s="6" t="s">
        <v>45</v>
      </c>
      <c r="H6" s="6"/>
    </row>
    <row r="7">
      <c r="A7" s="6" t="s">
        <v>60</v>
      </c>
      <c r="B7" s="6" t="s">
        <v>61</v>
      </c>
      <c r="C7" s="6" t="s">
        <v>35</v>
      </c>
      <c r="D7" s="6" t="s">
        <v>29</v>
      </c>
      <c r="E7" s="6" t="s">
        <v>39</v>
      </c>
      <c r="F7" s="6" t="s">
        <v>67</v>
      </c>
      <c r="G7" s="6" t="s">
        <v>45</v>
      </c>
      <c r="H7" s="6"/>
    </row>
    <row r="8">
      <c r="A8" s="6" t="s">
        <v>70</v>
      </c>
      <c r="B8" s="6" t="s">
        <v>71</v>
      </c>
      <c r="C8" s="6" t="s">
        <v>35</v>
      </c>
      <c r="D8" s="6" t="s">
        <v>29</v>
      </c>
      <c r="E8" s="6" t="s">
        <v>39</v>
      </c>
      <c r="F8" s="6" t="s">
        <v>73</v>
      </c>
      <c r="G8" s="6" t="s">
        <v>45</v>
      </c>
      <c r="H8" s="6"/>
    </row>
    <row r="9">
      <c r="A9" s="6" t="s">
        <v>74</v>
      </c>
      <c r="B9" s="6" t="s">
        <v>75</v>
      </c>
      <c r="C9" s="6" t="s">
        <v>76</v>
      </c>
      <c r="D9" s="6" t="s">
        <v>64</v>
      </c>
      <c r="E9" s="6" t="s">
        <v>79</v>
      </c>
      <c r="F9" s="6" t="s">
        <v>80</v>
      </c>
      <c r="G9" s="6" t="s">
        <v>45</v>
      </c>
      <c r="H9" s="6"/>
    </row>
    <row r="10">
      <c r="A10" s="6" t="s">
        <v>81</v>
      </c>
      <c r="B10" s="6" t="s">
        <v>79</v>
      </c>
      <c r="C10" s="6" t="s">
        <v>76</v>
      </c>
      <c r="D10" s="6" t="s">
        <v>72</v>
      </c>
      <c r="E10" s="6" t="s">
        <v>54</v>
      </c>
      <c r="F10" s="6" t="s">
        <v>84</v>
      </c>
      <c r="G10" s="6" t="s">
        <v>45</v>
      </c>
      <c r="H10" s="6"/>
    </row>
    <row r="11">
      <c r="A11" s="6" t="s">
        <v>85</v>
      </c>
      <c r="B11" s="6" t="s">
        <v>28</v>
      </c>
      <c r="C11" s="6" t="s">
        <v>76</v>
      </c>
      <c r="D11" s="6" t="s">
        <v>78</v>
      </c>
      <c r="E11" s="6" t="s">
        <v>79</v>
      </c>
      <c r="F11" s="6" t="s">
        <v>87</v>
      </c>
      <c r="G11" s="6" t="s">
        <v>45</v>
      </c>
      <c r="H11" s="6" t="s">
        <v>88</v>
      </c>
    </row>
    <row r="12">
      <c r="A12" s="6" t="s">
        <v>38</v>
      </c>
      <c r="B12" s="6" t="s">
        <v>40</v>
      </c>
      <c r="C12" s="6" t="s">
        <v>76</v>
      </c>
      <c r="D12" s="6" t="s">
        <v>64</v>
      </c>
      <c r="E12" s="6" t="s">
        <v>79</v>
      </c>
      <c r="F12" s="6" t="s">
        <v>90</v>
      </c>
      <c r="G12" s="6" t="s">
        <v>45</v>
      </c>
      <c r="H12" s="6" t="s">
        <v>91</v>
      </c>
    </row>
    <row r="13">
      <c r="A13" s="6" t="s">
        <v>92</v>
      </c>
      <c r="B13" s="6" t="s">
        <v>93</v>
      </c>
      <c r="C13" s="6" t="s">
        <v>95</v>
      </c>
      <c r="D13" s="6" t="s">
        <v>83</v>
      </c>
      <c r="E13" s="6" t="s">
        <v>96</v>
      </c>
      <c r="F13" s="6" t="s">
        <v>97</v>
      </c>
      <c r="G13" s="6" t="s">
        <v>45</v>
      </c>
      <c r="H13" s="6"/>
    </row>
    <row r="14">
      <c r="A14" s="6" t="s">
        <v>98</v>
      </c>
      <c r="B14" s="6" t="s">
        <v>96</v>
      </c>
      <c r="C14" s="6" t="s">
        <v>95</v>
      </c>
      <c r="D14" s="6" t="s">
        <v>86</v>
      </c>
      <c r="E14" s="6" t="s">
        <v>54</v>
      </c>
      <c r="F14" s="6" t="s">
        <v>100</v>
      </c>
      <c r="G14" s="6" t="s">
        <v>45</v>
      </c>
      <c r="H14" s="6"/>
    </row>
    <row r="15">
      <c r="A15" s="6" t="s">
        <v>101</v>
      </c>
      <c r="B15" s="6" t="s">
        <v>102</v>
      </c>
      <c r="C15" s="6" t="s">
        <v>95</v>
      </c>
      <c r="D15" s="6" t="s">
        <v>83</v>
      </c>
      <c r="E15" s="6" t="s">
        <v>96</v>
      </c>
      <c r="F15" s="6" t="s">
        <v>104</v>
      </c>
      <c r="G15" s="6" t="s">
        <v>45</v>
      </c>
      <c r="H15" s="6"/>
    </row>
    <row r="16">
      <c r="A16" s="6" t="s">
        <v>49</v>
      </c>
      <c r="B16" s="6" t="s">
        <v>50</v>
      </c>
      <c r="C16" s="6" t="s">
        <v>95</v>
      </c>
      <c r="D16" s="6" t="s">
        <v>83</v>
      </c>
      <c r="E16" s="6" t="s">
        <v>96</v>
      </c>
      <c r="F16" s="6" t="s">
        <v>107</v>
      </c>
      <c r="G16" s="6" t="s">
        <v>108</v>
      </c>
      <c r="H16" s="6" t="s">
        <v>109</v>
      </c>
    </row>
    <row r="17">
      <c r="A17" s="6" t="s">
        <v>110</v>
      </c>
      <c r="B17" s="6" t="s">
        <v>111</v>
      </c>
      <c r="C17" s="6" t="s">
        <v>112</v>
      </c>
      <c r="D17" s="6" t="s">
        <v>89</v>
      </c>
      <c r="E17" s="6" t="s">
        <v>113</v>
      </c>
      <c r="F17" s="6" t="s">
        <v>114</v>
      </c>
      <c r="G17" s="6" t="s">
        <v>45</v>
      </c>
      <c r="H17" s="6"/>
    </row>
    <row r="18">
      <c r="A18" s="6" t="s">
        <v>115</v>
      </c>
      <c r="B18" s="6" t="s">
        <v>113</v>
      </c>
      <c r="C18" s="6" t="s">
        <v>112</v>
      </c>
      <c r="D18" s="6" t="s">
        <v>94</v>
      </c>
      <c r="E18" s="6" t="s">
        <v>54</v>
      </c>
      <c r="F18" s="6" t="s">
        <v>116</v>
      </c>
      <c r="G18" s="6" t="s">
        <v>45</v>
      </c>
      <c r="H18" s="6"/>
    </row>
    <row r="19">
      <c r="A19" s="6" t="s">
        <v>117</v>
      </c>
      <c r="B19" s="6" t="s">
        <v>118</v>
      </c>
      <c r="C19" s="6" t="s">
        <v>112</v>
      </c>
      <c r="D19" s="6" t="s">
        <v>89</v>
      </c>
      <c r="E19" s="6" t="s">
        <v>113</v>
      </c>
      <c r="F19" s="6" t="s">
        <v>119</v>
      </c>
      <c r="G19" s="6" t="s">
        <v>45</v>
      </c>
      <c r="H19" s="6"/>
    </row>
    <row r="20">
      <c r="A20" s="6" t="s">
        <v>57</v>
      </c>
      <c r="B20" s="6" t="s">
        <v>58</v>
      </c>
      <c r="C20" s="6" t="s">
        <v>112</v>
      </c>
      <c r="D20" s="6" t="s">
        <v>89</v>
      </c>
      <c r="E20" s="6" t="s">
        <v>113</v>
      </c>
      <c r="F20" s="6" t="s">
        <v>120</v>
      </c>
      <c r="G20" s="6" t="s">
        <v>45</v>
      </c>
      <c r="H20" s="6" t="s">
        <v>121</v>
      </c>
    </row>
    <row r="21" ht="15.75" customHeight="1">
      <c r="A21" s="6" t="s">
        <v>122</v>
      </c>
      <c r="B21" s="6" t="s">
        <v>123</v>
      </c>
      <c r="C21" s="6" t="s">
        <v>124</v>
      </c>
      <c r="D21" s="6" t="s">
        <v>99</v>
      </c>
      <c r="E21" s="6" t="s">
        <v>125</v>
      </c>
      <c r="F21" s="6" t="s">
        <v>126</v>
      </c>
      <c r="G21" s="6" t="s">
        <v>45</v>
      </c>
      <c r="H21" s="6"/>
    </row>
    <row r="22" ht="15.75" customHeight="1">
      <c r="A22" s="6" t="s">
        <v>127</v>
      </c>
      <c r="B22" s="6" t="s">
        <v>125</v>
      </c>
      <c r="C22" s="6" t="s">
        <v>124</v>
      </c>
      <c r="D22" s="6" t="s">
        <v>103</v>
      </c>
      <c r="E22" s="6" t="s">
        <v>54</v>
      </c>
      <c r="F22" s="6" t="s">
        <v>128</v>
      </c>
      <c r="G22" s="6" t="s">
        <v>45</v>
      </c>
      <c r="H22" s="6"/>
    </row>
    <row r="23" ht="15.75" customHeight="1">
      <c r="A23" s="6" t="s">
        <v>130</v>
      </c>
      <c r="B23" s="6" t="s">
        <v>131</v>
      </c>
      <c r="C23" s="6" t="s">
        <v>124</v>
      </c>
      <c r="D23" s="6" t="s">
        <v>99</v>
      </c>
      <c r="E23" s="6" t="s">
        <v>125</v>
      </c>
      <c r="F23" s="6" t="s">
        <v>132</v>
      </c>
      <c r="G23" s="6" t="s">
        <v>45</v>
      </c>
      <c r="H23" s="6"/>
    </row>
    <row r="24" ht="15.75" customHeight="1">
      <c r="A24" s="6" t="s">
        <v>63</v>
      </c>
      <c r="B24" s="6" t="s">
        <v>54</v>
      </c>
      <c r="C24" s="6" t="s">
        <v>133</v>
      </c>
      <c r="D24" s="6" t="s">
        <v>106</v>
      </c>
      <c r="E24" s="6" t="s">
        <v>134</v>
      </c>
      <c r="F24" s="6" t="s">
        <v>135</v>
      </c>
      <c r="G24" s="6" t="s">
        <v>45</v>
      </c>
      <c r="H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8" width="14.0"/>
    <col customWidth="1" min="9" max="9" width="46.0"/>
    <col customWidth="1" min="10" max="26" width="8.71"/>
  </cols>
  <sheetData>
    <row r="1">
      <c r="A1" s="1" t="s">
        <v>0</v>
      </c>
    </row>
    <row r="2">
      <c r="A2" s="2"/>
    </row>
    <row r="4">
      <c r="A4" s="4" t="s">
        <v>6</v>
      </c>
      <c r="B4" s="4" t="s">
        <v>8</v>
      </c>
      <c r="C4" s="4" t="s">
        <v>10</v>
      </c>
      <c r="D4" s="4" t="s">
        <v>13</v>
      </c>
      <c r="E4" s="4" t="s">
        <v>16</v>
      </c>
      <c r="F4" s="4" t="s">
        <v>19</v>
      </c>
      <c r="G4" s="4" t="s">
        <v>22</v>
      </c>
      <c r="H4" s="4" t="s">
        <v>25</v>
      </c>
      <c r="I4" s="4" t="s">
        <v>27</v>
      </c>
    </row>
    <row r="5">
      <c r="A5" s="7" t="s">
        <v>29</v>
      </c>
      <c r="B5" s="8" t="s">
        <v>36</v>
      </c>
      <c r="C5" s="10" t="s">
        <v>41</v>
      </c>
      <c r="D5" s="10" t="s">
        <v>41</v>
      </c>
      <c r="E5" s="10" t="s">
        <v>41</v>
      </c>
      <c r="F5" s="10" t="s">
        <v>41</v>
      </c>
      <c r="G5" s="10" t="s">
        <v>41</v>
      </c>
      <c r="H5" s="10" t="s">
        <v>41</v>
      </c>
      <c r="I5" s="6"/>
    </row>
    <row r="6">
      <c r="A6" s="7" t="s">
        <v>53</v>
      </c>
      <c r="B6" s="8" t="s">
        <v>36</v>
      </c>
      <c r="C6" s="10" t="s">
        <v>41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6"/>
    </row>
    <row r="7">
      <c r="A7" s="7" t="s">
        <v>64</v>
      </c>
      <c r="B7" s="10" t="s">
        <v>41</v>
      </c>
      <c r="C7" s="8" t="s">
        <v>36</v>
      </c>
      <c r="D7" s="10" t="s">
        <v>41</v>
      </c>
      <c r="E7" s="10" t="s">
        <v>41</v>
      </c>
      <c r="F7" s="10" t="s">
        <v>41</v>
      </c>
      <c r="G7" s="10" t="s">
        <v>41</v>
      </c>
      <c r="H7" s="10" t="s">
        <v>41</v>
      </c>
      <c r="I7" s="6"/>
    </row>
    <row r="8">
      <c r="A8" s="7" t="s">
        <v>72</v>
      </c>
      <c r="B8" s="10" t="s">
        <v>41</v>
      </c>
      <c r="C8" s="8" t="s">
        <v>36</v>
      </c>
      <c r="D8" s="10" t="s">
        <v>41</v>
      </c>
      <c r="E8" s="8" t="s">
        <v>36</v>
      </c>
      <c r="F8" s="10" t="s">
        <v>41</v>
      </c>
      <c r="G8" s="10" t="s">
        <v>41</v>
      </c>
      <c r="H8" s="10" t="s">
        <v>41</v>
      </c>
      <c r="I8" s="6" t="s">
        <v>77</v>
      </c>
    </row>
    <row r="9">
      <c r="A9" s="7" t="s">
        <v>78</v>
      </c>
      <c r="B9" s="10" t="s">
        <v>41</v>
      </c>
      <c r="C9" s="8" t="s">
        <v>36</v>
      </c>
      <c r="D9" s="8" t="s">
        <v>36</v>
      </c>
      <c r="E9" s="10" t="s">
        <v>41</v>
      </c>
      <c r="F9" s="10" t="s">
        <v>41</v>
      </c>
      <c r="G9" s="10" t="s">
        <v>41</v>
      </c>
      <c r="H9" s="10" t="s">
        <v>41</v>
      </c>
      <c r="I9" s="6" t="s">
        <v>82</v>
      </c>
    </row>
    <row r="10">
      <c r="A10" s="7" t="s">
        <v>83</v>
      </c>
      <c r="B10" s="10" t="s">
        <v>41</v>
      </c>
      <c r="C10" s="10" t="s">
        <v>41</v>
      </c>
      <c r="D10" s="10" t="s">
        <v>41</v>
      </c>
      <c r="E10" s="10" t="s">
        <v>41</v>
      </c>
      <c r="F10" s="8" t="s">
        <v>36</v>
      </c>
      <c r="G10" s="10" t="s">
        <v>41</v>
      </c>
      <c r="H10" s="10" t="s">
        <v>41</v>
      </c>
      <c r="I10" s="6"/>
    </row>
    <row r="11">
      <c r="A11" s="7" t="s">
        <v>86</v>
      </c>
      <c r="B11" s="10" t="s">
        <v>41</v>
      </c>
      <c r="C11" s="10" t="s">
        <v>41</v>
      </c>
      <c r="D11" s="10" t="s">
        <v>41</v>
      </c>
      <c r="E11" s="10" t="s">
        <v>41</v>
      </c>
      <c r="F11" s="8" t="s">
        <v>36</v>
      </c>
      <c r="G11" s="10" t="s">
        <v>41</v>
      </c>
      <c r="H11" s="10" t="s">
        <v>41</v>
      </c>
      <c r="I11" s="6"/>
    </row>
    <row r="12">
      <c r="A12" s="7" t="s">
        <v>89</v>
      </c>
      <c r="B12" s="10" t="s">
        <v>41</v>
      </c>
      <c r="C12" s="10" t="s">
        <v>41</v>
      </c>
      <c r="D12" s="10" t="s">
        <v>41</v>
      </c>
      <c r="E12" s="10" t="s">
        <v>41</v>
      </c>
      <c r="F12" s="10" t="s">
        <v>41</v>
      </c>
      <c r="G12" s="8" t="s">
        <v>36</v>
      </c>
      <c r="H12" s="10" t="s">
        <v>41</v>
      </c>
      <c r="I12" s="6"/>
    </row>
    <row r="13">
      <c r="A13" s="7" t="s">
        <v>94</v>
      </c>
      <c r="B13" s="10" t="s">
        <v>41</v>
      </c>
      <c r="C13" s="10" t="s">
        <v>41</v>
      </c>
      <c r="D13" s="10" t="s">
        <v>41</v>
      </c>
      <c r="E13" s="10" t="s">
        <v>41</v>
      </c>
      <c r="F13" s="10" t="s">
        <v>41</v>
      </c>
      <c r="G13" s="8" t="s">
        <v>36</v>
      </c>
      <c r="H13" s="10" t="s">
        <v>41</v>
      </c>
      <c r="I13" s="6"/>
    </row>
    <row r="14">
      <c r="A14" s="7" t="s">
        <v>99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6"/>
    </row>
    <row r="15">
      <c r="A15" s="7" t="s">
        <v>103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8" t="s">
        <v>36</v>
      </c>
      <c r="I15" s="6" t="s">
        <v>105</v>
      </c>
    </row>
    <row r="16">
      <c r="A16" s="7" t="s">
        <v>106</v>
      </c>
      <c r="B16" s="8" t="s">
        <v>36</v>
      </c>
      <c r="C16" s="8" t="s">
        <v>36</v>
      </c>
      <c r="D16" s="10" t="s">
        <v>41</v>
      </c>
      <c r="E16" s="8" t="s">
        <v>36</v>
      </c>
      <c r="F16" s="8" t="s">
        <v>36</v>
      </c>
      <c r="G16" s="8" t="s">
        <v>36</v>
      </c>
      <c r="H16" s="8" t="s">
        <v>36</v>
      </c>
      <c r="I1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2.0"/>
    <col customWidth="1" min="4" max="4" width="20.0"/>
    <col customWidth="1" min="5" max="11" width="14.0"/>
    <col customWidth="1" min="12" max="12" width="20.0"/>
    <col customWidth="1" min="13" max="26" width="8.71"/>
  </cols>
  <sheetData>
    <row r="1">
      <c r="A1" s="1" t="s">
        <v>1</v>
      </c>
    </row>
    <row r="2">
      <c r="A2" s="2"/>
    </row>
    <row r="4">
      <c r="A4" s="4" t="s">
        <v>5</v>
      </c>
      <c r="B4" s="4" t="s">
        <v>7</v>
      </c>
      <c r="C4" s="4" t="s">
        <v>9</v>
      </c>
      <c r="D4" s="4" t="s">
        <v>12</v>
      </c>
      <c r="E4" s="4" t="s">
        <v>8</v>
      </c>
      <c r="F4" s="4" t="s">
        <v>10</v>
      </c>
      <c r="G4" s="4" t="s">
        <v>13</v>
      </c>
      <c r="H4" s="4" t="s">
        <v>16</v>
      </c>
      <c r="I4" s="4" t="s">
        <v>19</v>
      </c>
      <c r="J4" s="4" t="s">
        <v>22</v>
      </c>
      <c r="K4" s="4" t="s">
        <v>25</v>
      </c>
      <c r="L4" s="4" t="s">
        <v>33</v>
      </c>
    </row>
    <row r="5">
      <c r="A5" s="9" t="s">
        <v>26</v>
      </c>
      <c r="B5" s="9" t="s">
        <v>31</v>
      </c>
      <c r="C5" s="9" t="s">
        <v>35</v>
      </c>
      <c r="D5" s="9" t="s">
        <v>29</v>
      </c>
      <c r="E5" s="8" t="s">
        <v>36</v>
      </c>
      <c r="F5" s="10" t="s">
        <v>41</v>
      </c>
      <c r="G5" s="10" t="s">
        <v>41</v>
      </c>
      <c r="H5" s="10" t="s">
        <v>41</v>
      </c>
      <c r="I5" s="10" t="s">
        <v>41</v>
      </c>
      <c r="J5" s="10" t="s">
        <v>41</v>
      </c>
      <c r="K5" s="10" t="s">
        <v>41</v>
      </c>
      <c r="L5" s="11" t="str">
        <f t="shared" ref="L5:L11" si="1">IF(AND(G5="Yes",H5="Yes"),"SoD VIOLATION","")</f>
        <v/>
      </c>
    </row>
    <row r="6">
      <c r="A6" s="9" t="s">
        <v>48</v>
      </c>
      <c r="B6" s="9" t="s">
        <v>39</v>
      </c>
      <c r="C6" s="9" t="s">
        <v>35</v>
      </c>
      <c r="D6" s="9" t="s">
        <v>53</v>
      </c>
      <c r="E6" s="8" t="s">
        <v>36</v>
      </c>
      <c r="F6" s="10" t="s">
        <v>41</v>
      </c>
      <c r="G6" s="10" t="s">
        <v>41</v>
      </c>
      <c r="H6" s="10" t="s">
        <v>41</v>
      </c>
      <c r="I6" s="10" t="s">
        <v>41</v>
      </c>
      <c r="J6" s="10" t="s">
        <v>41</v>
      </c>
      <c r="K6" s="10" t="s">
        <v>41</v>
      </c>
      <c r="L6" s="11" t="str">
        <f t="shared" si="1"/>
        <v/>
      </c>
    </row>
    <row r="7">
      <c r="A7" s="9" t="s">
        <v>60</v>
      </c>
      <c r="B7" s="9" t="s">
        <v>61</v>
      </c>
      <c r="C7" s="9" t="s">
        <v>35</v>
      </c>
      <c r="D7" s="9" t="s">
        <v>29</v>
      </c>
      <c r="E7" s="8" t="s">
        <v>36</v>
      </c>
      <c r="F7" s="10" t="s">
        <v>41</v>
      </c>
      <c r="G7" s="10" t="s">
        <v>41</v>
      </c>
      <c r="H7" s="10" t="s">
        <v>41</v>
      </c>
      <c r="I7" s="10" t="s">
        <v>41</v>
      </c>
      <c r="J7" s="10" t="s">
        <v>41</v>
      </c>
      <c r="K7" s="10" t="s">
        <v>41</v>
      </c>
      <c r="L7" s="11" t="str">
        <f t="shared" si="1"/>
        <v/>
      </c>
    </row>
    <row r="8">
      <c r="A8" s="9" t="s">
        <v>70</v>
      </c>
      <c r="B8" s="9" t="s">
        <v>71</v>
      </c>
      <c r="C8" s="9" t="s">
        <v>35</v>
      </c>
      <c r="D8" s="9" t="s">
        <v>29</v>
      </c>
      <c r="E8" s="8" t="s">
        <v>36</v>
      </c>
      <c r="F8" s="10" t="s">
        <v>41</v>
      </c>
      <c r="G8" s="10" t="s">
        <v>41</v>
      </c>
      <c r="H8" s="10" t="s">
        <v>41</v>
      </c>
      <c r="I8" s="10" t="s">
        <v>41</v>
      </c>
      <c r="J8" s="10" t="s">
        <v>41</v>
      </c>
      <c r="K8" s="10" t="s">
        <v>41</v>
      </c>
      <c r="L8" s="11" t="str">
        <f t="shared" si="1"/>
        <v/>
      </c>
    </row>
    <row r="9">
      <c r="A9" s="9" t="s">
        <v>74</v>
      </c>
      <c r="B9" s="9" t="s">
        <v>75</v>
      </c>
      <c r="C9" s="9" t="s">
        <v>76</v>
      </c>
      <c r="D9" s="9" t="s">
        <v>64</v>
      </c>
      <c r="E9" s="10" t="s">
        <v>41</v>
      </c>
      <c r="F9" s="8" t="s">
        <v>36</v>
      </c>
      <c r="G9" s="10" t="s">
        <v>41</v>
      </c>
      <c r="H9" s="10" t="s">
        <v>41</v>
      </c>
      <c r="I9" s="10" t="s">
        <v>41</v>
      </c>
      <c r="J9" s="10" t="s">
        <v>41</v>
      </c>
      <c r="K9" s="10" t="s">
        <v>41</v>
      </c>
      <c r="L9" s="11" t="str">
        <f t="shared" si="1"/>
        <v/>
      </c>
    </row>
    <row r="10">
      <c r="A10" s="9" t="s">
        <v>81</v>
      </c>
      <c r="B10" s="9" t="s">
        <v>79</v>
      </c>
      <c r="C10" s="9" t="s">
        <v>76</v>
      </c>
      <c r="D10" s="9" t="s">
        <v>72</v>
      </c>
      <c r="E10" s="10" t="s">
        <v>41</v>
      </c>
      <c r="F10" s="8" t="s">
        <v>36</v>
      </c>
      <c r="G10" s="10" t="s">
        <v>41</v>
      </c>
      <c r="H10" s="8" t="s">
        <v>36</v>
      </c>
      <c r="I10" s="10" t="s">
        <v>41</v>
      </c>
      <c r="J10" s="10" t="s">
        <v>41</v>
      </c>
      <c r="K10" s="10" t="s">
        <v>41</v>
      </c>
      <c r="L10" s="11" t="str">
        <f t="shared" si="1"/>
        <v/>
      </c>
    </row>
    <row r="11">
      <c r="A11" s="9" t="s">
        <v>85</v>
      </c>
      <c r="B11" s="9" t="s">
        <v>28</v>
      </c>
      <c r="C11" s="9" t="s">
        <v>76</v>
      </c>
      <c r="D11" s="9" t="s">
        <v>78</v>
      </c>
      <c r="E11" s="10" t="s">
        <v>41</v>
      </c>
      <c r="F11" s="8" t="s">
        <v>36</v>
      </c>
      <c r="G11" s="8" t="s">
        <v>36</v>
      </c>
      <c r="H11" s="8" t="s">
        <v>36</v>
      </c>
      <c r="I11" s="10" t="s">
        <v>41</v>
      </c>
      <c r="J11" s="10" t="s">
        <v>41</v>
      </c>
      <c r="K11" s="10" t="s">
        <v>41</v>
      </c>
      <c r="L11" s="11" t="str">
        <f t="shared" si="1"/>
        <v>SoD VIOLATION</v>
      </c>
    </row>
    <row r="12">
      <c r="A12" s="9" t="s">
        <v>38</v>
      </c>
      <c r="B12" s="9" t="s">
        <v>40</v>
      </c>
      <c r="C12" s="9" t="s">
        <v>76</v>
      </c>
      <c r="D12" s="9" t="s">
        <v>64</v>
      </c>
      <c r="E12" s="10" t="s">
        <v>41</v>
      </c>
      <c r="F12" s="8" t="s">
        <v>36</v>
      </c>
      <c r="G12" s="10" t="s">
        <v>41</v>
      </c>
      <c r="H12" s="10" t="s">
        <v>41</v>
      </c>
      <c r="I12" s="8" t="s">
        <v>36</v>
      </c>
      <c r="J12" s="10" t="s">
        <v>41</v>
      </c>
      <c r="K12" s="10" t="s">
        <v>41</v>
      </c>
      <c r="L12" s="12" t="s">
        <v>43</v>
      </c>
    </row>
    <row r="13">
      <c r="A13" s="9" t="s">
        <v>92</v>
      </c>
      <c r="B13" s="9" t="s">
        <v>93</v>
      </c>
      <c r="C13" s="9" t="s">
        <v>95</v>
      </c>
      <c r="D13" s="9" t="s">
        <v>83</v>
      </c>
      <c r="E13" s="10" t="s">
        <v>41</v>
      </c>
      <c r="F13" s="10" t="s">
        <v>41</v>
      </c>
      <c r="G13" s="10" t="s">
        <v>41</v>
      </c>
      <c r="H13" s="10" t="s">
        <v>41</v>
      </c>
      <c r="I13" s="8" t="s">
        <v>36</v>
      </c>
      <c r="J13" s="10" t="s">
        <v>41</v>
      </c>
      <c r="K13" s="10" t="s">
        <v>41</v>
      </c>
      <c r="L13" s="11" t="str">
        <f t="shared" ref="L13:L15" si="2">IF(AND(G13="Yes",H13="Yes"),"SoD VIOLATION","")</f>
        <v/>
      </c>
    </row>
    <row r="14">
      <c r="A14" s="9" t="s">
        <v>98</v>
      </c>
      <c r="B14" s="9" t="s">
        <v>96</v>
      </c>
      <c r="C14" s="9" t="s">
        <v>95</v>
      </c>
      <c r="D14" s="9" t="s">
        <v>86</v>
      </c>
      <c r="E14" s="10" t="s">
        <v>41</v>
      </c>
      <c r="F14" s="10" t="s">
        <v>41</v>
      </c>
      <c r="G14" s="10" t="s">
        <v>41</v>
      </c>
      <c r="H14" s="10" t="s">
        <v>41</v>
      </c>
      <c r="I14" s="8" t="s">
        <v>36</v>
      </c>
      <c r="J14" s="10" t="s">
        <v>41</v>
      </c>
      <c r="K14" s="10" t="s">
        <v>41</v>
      </c>
      <c r="L14" s="11" t="str">
        <f t="shared" si="2"/>
        <v/>
      </c>
    </row>
    <row r="15">
      <c r="A15" s="9" t="s">
        <v>101</v>
      </c>
      <c r="B15" s="9" t="s">
        <v>102</v>
      </c>
      <c r="C15" s="9" t="s">
        <v>95</v>
      </c>
      <c r="D15" s="9" t="s">
        <v>83</v>
      </c>
      <c r="E15" s="10" t="s">
        <v>41</v>
      </c>
      <c r="F15" s="10" t="s">
        <v>41</v>
      </c>
      <c r="G15" s="10" t="s">
        <v>41</v>
      </c>
      <c r="H15" s="10" t="s">
        <v>41</v>
      </c>
      <c r="I15" s="8" t="s">
        <v>36</v>
      </c>
      <c r="J15" s="10" t="s">
        <v>41</v>
      </c>
      <c r="K15" s="10" t="s">
        <v>41</v>
      </c>
      <c r="L15" s="11" t="str">
        <f t="shared" si="2"/>
        <v/>
      </c>
    </row>
    <row r="16">
      <c r="A16" s="9" t="s">
        <v>49</v>
      </c>
      <c r="B16" s="9" t="s">
        <v>50</v>
      </c>
      <c r="C16" s="9" t="s">
        <v>95</v>
      </c>
      <c r="D16" s="9" t="s">
        <v>83</v>
      </c>
      <c r="E16" s="10" t="s">
        <v>41</v>
      </c>
      <c r="F16" s="10" t="s">
        <v>41</v>
      </c>
      <c r="G16" s="10" t="s">
        <v>41</v>
      </c>
      <c r="H16" s="10" t="s">
        <v>41</v>
      </c>
      <c r="I16" s="8" t="s">
        <v>36</v>
      </c>
      <c r="J16" s="10" t="s">
        <v>41</v>
      </c>
      <c r="K16" s="10" t="s">
        <v>41</v>
      </c>
      <c r="L16" s="12" t="s">
        <v>129</v>
      </c>
    </row>
    <row r="17">
      <c r="A17" s="9" t="s">
        <v>110</v>
      </c>
      <c r="B17" s="9" t="s">
        <v>111</v>
      </c>
      <c r="C17" s="9" t="s">
        <v>112</v>
      </c>
      <c r="D17" s="9" t="s">
        <v>89</v>
      </c>
      <c r="E17" s="10" t="s">
        <v>41</v>
      </c>
      <c r="F17" s="10" t="s">
        <v>41</v>
      </c>
      <c r="G17" s="10" t="s">
        <v>41</v>
      </c>
      <c r="H17" s="10" t="s">
        <v>41</v>
      </c>
      <c r="I17" s="10" t="s">
        <v>41</v>
      </c>
      <c r="J17" s="8" t="s">
        <v>36</v>
      </c>
      <c r="K17" s="10" t="s">
        <v>41</v>
      </c>
      <c r="L17" s="11" t="str">
        <f t="shared" ref="L17:L19" si="3">IF(AND(G17="Yes",H17="Yes"),"SoD VIOLATION","")</f>
        <v/>
      </c>
    </row>
    <row r="18">
      <c r="A18" s="9" t="s">
        <v>115</v>
      </c>
      <c r="B18" s="9" t="s">
        <v>113</v>
      </c>
      <c r="C18" s="9" t="s">
        <v>112</v>
      </c>
      <c r="D18" s="9" t="s">
        <v>94</v>
      </c>
      <c r="E18" s="10" t="s">
        <v>41</v>
      </c>
      <c r="F18" s="10" t="s">
        <v>41</v>
      </c>
      <c r="G18" s="10" t="s">
        <v>41</v>
      </c>
      <c r="H18" s="10" t="s">
        <v>41</v>
      </c>
      <c r="I18" s="10" t="s">
        <v>41</v>
      </c>
      <c r="J18" s="8" t="s">
        <v>36</v>
      </c>
      <c r="K18" s="10" t="s">
        <v>41</v>
      </c>
      <c r="L18" s="11" t="str">
        <f t="shared" si="3"/>
        <v/>
      </c>
    </row>
    <row r="19">
      <c r="A19" s="9" t="s">
        <v>117</v>
      </c>
      <c r="B19" s="9" t="s">
        <v>118</v>
      </c>
      <c r="C19" s="9" t="s">
        <v>112</v>
      </c>
      <c r="D19" s="9" t="s">
        <v>89</v>
      </c>
      <c r="E19" s="10" t="s">
        <v>41</v>
      </c>
      <c r="F19" s="10" t="s">
        <v>41</v>
      </c>
      <c r="G19" s="10" t="s">
        <v>41</v>
      </c>
      <c r="H19" s="10" t="s">
        <v>41</v>
      </c>
      <c r="I19" s="10" t="s">
        <v>41</v>
      </c>
      <c r="J19" s="8" t="s">
        <v>36</v>
      </c>
      <c r="K19" s="10" t="s">
        <v>41</v>
      </c>
      <c r="L19" s="11" t="str">
        <f t="shared" si="3"/>
        <v/>
      </c>
    </row>
    <row r="20">
      <c r="A20" s="9" t="s">
        <v>57</v>
      </c>
      <c r="B20" s="9" t="s">
        <v>58</v>
      </c>
      <c r="C20" s="9" t="s">
        <v>112</v>
      </c>
      <c r="D20" s="9" t="s">
        <v>89</v>
      </c>
      <c r="E20" s="10" t="s">
        <v>41</v>
      </c>
      <c r="F20" s="10" t="s">
        <v>41</v>
      </c>
      <c r="G20" s="10" t="s">
        <v>41</v>
      </c>
      <c r="H20" s="10" t="s">
        <v>41</v>
      </c>
      <c r="I20" s="10" t="s">
        <v>41</v>
      </c>
      <c r="J20" s="8" t="s">
        <v>36</v>
      </c>
      <c r="K20" s="10" t="s">
        <v>41</v>
      </c>
      <c r="L20" s="13" t="s">
        <v>136</v>
      </c>
    </row>
    <row r="21" ht="15.75" customHeight="1">
      <c r="A21" s="9" t="s">
        <v>122</v>
      </c>
      <c r="B21" s="9" t="s">
        <v>123</v>
      </c>
      <c r="C21" s="9" t="s">
        <v>124</v>
      </c>
      <c r="D21" s="9" t="s">
        <v>99</v>
      </c>
      <c r="E21" s="10" t="s">
        <v>41</v>
      </c>
      <c r="F21" s="10" t="s">
        <v>41</v>
      </c>
      <c r="G21" s="10" t="s">
        <v>41</v>
      </c>
      <c r="H21" s="10" t="s">
        <v>41</v>
      </c>
      <c r="I21" s="10" t="s">
        <v>41</v>
      </c>
      <c r="J21" s="10" t="s">
        <v>41</v>
      </c>
      <c r="K21" s="10" t="s">
        <v>41</v>
      </c>
      <c r="L21" s="11" t="str">
        <f t="shared" ref="L21:L23" si="4">IF(AND(G21="Yes",H21="Yes"),"SoD VIOLATION","")</f>
        <v/>
      </c>
    </row>
    <row r="22" ht="15.75" customHeight="1">
      <c r="A22" s="9" t="s">
        <v>127</v>
      </c>
      <c r="B22" s="9" t="s">
        <v>125</v>
      </c>
      <c r="C22" s="9" t="s">
        <v>124</v>
      </c>
      <c r="D22" s="9" t="s">
        <v>103</v>
      </c>
      <c r="E22" s="10" t="s">
        <v>41</v>
      </c>
      <c r="F22" s="10" t="s">
        <v>41</v>
      </c>
      <c r="G22" s="10" t="s">
        <v>41</v>
      </c>
      <c r="H22" s="10" t="s">
        <v>41</v>
      </c>
      <c r="I22" s="10" t="s">
        <v>41</v>
      </c>
      <c r="J22" s="10" t="s">
        <v>41</v>
      </c>
      <c r="K22" s="8" t="s">
        <v>36</v>
      </c>
      <c r="L22" s="11" t="str">
        <f t="shared" si="4"/>
        <v/>
      </c>
    </row>
    <row r="23" ht="15.75" customHeight="1">
      <c r="A23" s="9" t="s">
        <v>130</v>
      </c>
      <c r="B23" s="9" t="s">
        <v>131</v>
      </c>
      <c r="C23" s="9" t="s">
        <v>124</v>
      </c>
      <c r="D23" s="9" t="s">
        <v>99</v>
      </c>
      <c r="E23" s="10" t="s">
        <v>41</v>
      </c>
      <c r="F23" s="10" t="s">
        <v>41</v>
      </c>
      <c r="G23" s="10" t="s">
        <v>41</v>
      </c>
      <c r="H23" s="10" t="s">
        <v>41</v>
      </c>
      <c r="I23" s="10" t="s">
        <v>41</v>
      </c>
      <c r="J23" s="10" t="s">
        <v>41</v>
      </c>
      <c r="K23" s="10" t="s">
        <v>41</v>
      </c>
      <c r="L23" s="11" t="str">
        <f t="shared" si="4"/>
        <v/>
      </c>
    </row>
    <row r="24" ht="15.75" customHeight="1">
      <c r="A24" s="9" t="s">
        <v>63</v>
      </c>
      <c r="B24" s="9" t="s">
        <v>54</v>
      </c>
      <c r="C24" s="9" t="s">
        <v>133</v>
      </c>
      <c r="D24" s="9" t="s">
        <v>106</v>
      </c>
      <c r="E24" s="8" t="s">
        <v>36</v>
      </c>
      <c r="F24" s="8" t="s">
        <v>36</v>
      </c>
      <c r="G24" s="10" t="s">
        <v>41</v>
      </c>
      <c r="H24" s="8" t="s">
        <v>36</v>
      </c>
      <c r="I24" s="8" t="s">
        <v>36</v>
      </c>
      <c r="J24" s="8" t="s">
        <v>36</v>
      </c>
      <c r="K24" s="8" t="s">
        <v>36</v>
      </c>
      <c r="L24" s="14" t="s">
        <v>137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40.0"/>
    <col customWidth="1" min="5" max="5" width="12.0"/>
    <col customWidth="1" min="6" max="6" width="40.0"/>
    <col customWidth="1" min="7" max="26" width="8.71"/>
  </cols>
  <sheetData>
    <row r="1">
      <c r="A1" s="1" t="s">
        <v>3</v>
      </c>
    </row>
    <row r="4">
      <c r="A4" s="4" t="s">
        <v>5</v>
      </c>
      <c r="B4" s="4" t="s">
        <v>7</v>
      </c>
      <c r="C4" s="4" t="s">
        <v>11</v>
      </c>
      <c r="D4" s="4" t="s">
        <v>14</v>
      </c>
      <c r="E4" s="4" t="s">
        <v>17</v>
      </c>
      <c r="F4" s="4" t="s">
        <v>20</v>
      </c>
    </row>
    <row r="5">
      <c r="A5" s="5" t="s">
        <v>23</v>
      </c>
      <c r="B5" s="5" t="s">
        <v>28</v>
      </c>
      <c r="C5" s="5" t="s">
        <v>30</v>
      </c>
      <c r="D5" s="5" t="s">
        <v>32</v>
      </c>
      <c r="E5" s="5" t="s">
        <v>34</v>
      </c>
      <c r="F5" s="5" t="s">
        <v>37</v>
      </c>
    </row>
    <row r="6">
      <c r="A6" s="5" t="s">
        <v>38</v>
      </c>
      <c r="B6" s="5" t="s">
        <v>40</v>
      </c>
      <c r="C6" s="5" t="s">
        <v>43</v>
      </c>
      <c r="D6" s="5" t="s">
        <v>44</v>
      </c>
      <c r="E6" s="5" t="s">
        <v>46</v>
      </c>
      <c r="F6" s="5" t="s">
        <v>47</v>
      </c>
    </row>
    <row r="7">
      <c r="A7" s="5" t="s">
        <v>49</v>
      </c>
      <c r="B7" s="5" t="s">
        <v>50</v>
      </c>
      <c r="C7" s="5" t="s">
        <v>51</v>
      </c>
      <c r="D7" s="5" t="s">
        <v>52</v>
      </c>
      <c r="E7" s="5" t="s">
        <v>34</v>
      </c>
      <c r="F7" s="5" t="s">
        <v>55</v>
      </c>
    </row>
    <row r="8">
      <c r="A8" s="5" t="s">
        <v>57</v>
      </c>
      <c r="B8" s="5" t="s">
        <v>58</v>
      </c>
      <c r="C8" s="5" t="s">
        <v>43</v>
      </c>
      <c r="D8" s="5" t="s">
        <v>59</v>
      </c>
      <c r="E8" s="5" t="s">
        <v>46</v>
      </c>
      <c r="F8" s="5" t="s">
        <v>62</v>
      </c>
    </row>
    <row r="9">
      <c r="A9" s="5" t="s">
        <v>63</v>
      </c>
      <c r="B9" s="5" t="s">
        <v>54</v>
      </c>
      <c r="C9" s="5" t="s">
        <v>65</v>
      </c>
      <c r="D9" s="5" t="s">
        <v>66</v>
      </c>
      <c r="E9" s="5" t="s">
        <v>68</v>
      </c>
      <c r="F9" s="5" t="s">
        <v>69</v>
      </c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